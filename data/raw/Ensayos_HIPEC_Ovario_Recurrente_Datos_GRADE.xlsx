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egistros_IPD" sheetId="1" state="visible" r:id="rId1"/>
    <sheet xmlns:r="http://schemas.openxmlformats.org/officeDocument/2006/relationships" name="2_Diseno_PICO" sheetId="2" state="visible" r:id="rId2"/>
    <sheet xmlns:r="http://schemas.openxmlformats.org/officeDocument/2006/relationships" name="3_Datos_Crudos_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2F5597"/>
      <sz val="11"/>
    </font>
  </fonts>
  <fills count="6">
    <fill>
      <patternFill/>
    </fill>
    <fill>
      <patternFill patternType="gray125"/>
    </fill>
    <fill>
      <patternFill patternType="solid">
        <fgColor rgb="00F9FAFC"/>
        <bgColor rgb="00F9FAFC"/>
      </patternFill>
    </fill>
    <fill>
      <patternFill patternType="solid">
        <fgColor rgb="001F4E78"/>
        <bgColor rgb="001F4E78"/>
      </patternFill>
    </fill>
    <fill>
      <patternFill patternType="solid">
        <fgColor rgb="00EAEEF7"/>
        <bgColor rgb="00EAEEF7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double">
        <color rgb="001F4E78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6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left" vertical="center"/>
    </xf>
    <xf numFmtId="3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2" fontId="3" fillId="2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3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0" pivotButton="0" quotePrefix="0" xfId="0"/>
    <xf numFmtId="0" fontId="2" fillId="5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Proporción de Eventos Adversos Grado &gt;= 3 (% HIPEC vs. Control)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'3_Datos_Crudos_Resultados'!B27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'3_Datos_Crudos_Resultados'!$A$28:$A$30</f>
            </numRef>
          </cat>
          <val>
            <numRef>
              <f>'3_Datos_Crudos_Resultados'!$B$28:$B$30</f>
            </numRef>
          </val>
        </ser>
        <ser>
          <idx val="1"/>
          <order val="1"/>
          <tx>
            <strRef>
              <f>'3_Datos_Crudos_Resultados'!C27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'3_Datos_Crudos_Resultados'!$A$28:$A$30</f>
            </numRef>
          </cat>
          <val>
            <numRef>
              <f>'3_Datos_Crudos_Resultados'!$C$28:$C$30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Ensayo Clínico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 de Pacientes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34" customWidth="1" min="4" max="4"/>
    <col width="32" customWidth="1" min="5" max="5"/>
    <col width="55" customWidth="1" min="6" max="6"/>
  </cols>
  <sheetData>
    <row r="1">
      <c r="A1" s="1" t="inlineStr">
        <is>
          <t>Identificación de Registros en ClinicalTrials.gov y Disponibilidad de Datos Originales (IPD)</t>
        </is>
      </c>
    </row>
    <row r="3" ht="28" customHeight="1">
      <c r="A3" s="2" t="inlineStr">
        <is>
          <t>Ensayo Clínico</t>
        </is>
      </c>
      <c r="B3" s="2" t="inlineStr">
        <is>
          <t>Autor y Publicación</t>
        </is>
      </c>
      <c r="C3" s="2" t="inlineStr">
        <is>
          <t>Registro Oficial</t>
        </is>
      </c>
      <c r="D3" s="2" t="inlineStr">
        <is>
          <t>Patrocinador / Grupo y Centros</t>
        </is>
      </c>
      <c r="E3" s="2" t="inlineStr">
        <is>
          <t>Contacto Oficial</t>
        </is>
      </c>
      <c r="F3" s="2" t="inlineStr">
        <is>
          <t>Política de Data Sharing y Acceso a Datos Crudos (IPD)</t>
        </is>
      </c>
    </row>
    <row r="4" ht="55" customHeight="1">
      <c r="A4" s="3" t="inlineStr">
        <is>
          <t>CHIPOR</t>
        </is>
      </c>
      <c r="B4" s="4" t="inlineStr">
        <is>
          <t>Classe et al., Lancet Oncol 2024</t>
        </is>
      </c>
      <c r="C4" s="4" t="inlineStr">
        <is>
          <t>NCT01376752</t>
        </is>
      </c>
      <c r="D4" s="4" t="inlineStr">
        <is>
          <t>UNICANCER (Francia, Bélgica, España, Canadá — 31 centros)</t>
        </is>
      </c>
      <c r="E4" s="4" t="inlineStr">
        <is>
          <t>dpo@unicancer.fr / jean-marc.classe@ico.unicancer.fr</t>
        </is>
      </c>
      <c r="F4" s="4" t="inlineStr">
        <is>
          <t>UNICANCER comparte datos individuales anonimizados (IPD) que respaldan los resultados publicados previa solicitud formal escrita, autorización de UNICANCER y firma de acuerdo de acceso a datos.</t>
        </is>
      </c>
    </row>
    <row r="5" ht="55" customHeight="1">
      <c r="A5" s="5" t="inlineStr">
        <is>
          <t>MSK Team Ovary Phase II</t>
        </is>
      </c>
      <c r="B5" s="6" t="inlineStr">
        <is>
          <t>Zivanovic et al., J Clin Oncol 2021</t>
        </is>
      </c>
      <c r="C5" s="6" t="inlineStr">
        <is>
          <t>NCT01767675 (MSKCC #12-275)</t>
        </is>
      </c>
      <c r="D5" s="6" t="inlineStr">
        <is>
          <t>Memorial Sloan Kettering Cancer Center (EE. UU. — 4 centros)</t>
        </is>
      </c>
      <c r="E5" s="6" t="inlineStr">
        <is>
          <t>ocearbhr@mskcc.org (Dra. Roisin E. O'Cearbhaill)</t>
        </is>
      </c>
      <c r="F5" s="6" t="inlineStr">
        <is>
          <t>Financiado parcialmente por NIH/NCI (P30 CA008748). Conteos crudos, análisis univariados/multivariados y farmacocinética publicados en Tablas 1-4 y Apéndice. Solicitud de IPD vía autora corresponsal.</t>
        </is>
      </c>
    </row>
    <row r="6" ht="55" customHeight="1">
      <c r="A6" s="3" t="inlineStr">
        <is>
          <t>HORSE (MITO-18)</t>
        </is>
      </c>
      <c r="B6" s="4" t="inlineStr">
        <is>
          <t>Fagotti et al., J Clin Oncol 2024/2025</t>
        </is>
      </c>
      <c r="C6" s="4" t="inlineStr">
        <is>
          <t>NCT01539785 (EudraCT: 2012-002872-15)</t>
        </is>
      </c>
      <c r="D6" s="4" t="inlineStr">
        <is>
          <t>Grupo MITO / Fondazione Policlinico Universitario A. Gemelli IRCCS (Italia — 8 centros)</t>
        </is>
      </c>
      <c r="E6" s="4" t="inlineStr">
        <is>
          <t>anna.fagotti@unicatt.it (Dra. Anna Fagotti)</t>
        </is>
      </c>
      <c r="F6" s="4" t="inlineStr">
        <is>
          <t>Protocolo completo y Data Sharing Statement adjuntos en JCO (DOI: 10.1200/JCO.24.00686). Base de datos gestionada por el IDMC en el Clinical Trial Center del Policlinico A. Gemelli.</t>
        </is>
      </c>
    </row>
    <row r="8">
      <c r="A8" s="7" t="inlineStr">
        <is>
          <t>Nota metodológica: Los 3 artículos incluyen curvas de Kaplan-Meier con tablas de 'Number at risk', permitiendo reconstruir IPD de tiempo a evento mediante el algoritmo de Guyot (paquete IPDfromKM en R).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Comparación de Diseño y Características PICO (Insumo para Evidencia Indirecta e Inconsistencia en GRADE)</t>
        </is>
      </c>
    </row>
    <row r="3" ht="28" customHeight="1">
      <c r="A3" s="2" t="inlineStr">
        <is>
          <t>Característica PICO / Metodológica</t>
        </is>
      </c>
      <c r="B3" s="2" t="inlineStr">
        <is>
          <t>CHIPOR (NCT01376752)</t>
        </is>
      </c>
      <c r="C3" s="2" t="inlineStr">
        <is>
          <t>MSK Phase II (NCT01767675)</t>
        </is>
      </c>
      <c r="D3" s="2" t="inlineStr">
        <is>
          <t>HORSE / MITO-18 (NCT01539785)</t>
        </is>
      </c>
    </row>
    <row r="4" ht="42" customHeight="1">
      <c r="A4" s="8" t="inlineStr">
        <is>
          <t>Fase, Diseño y Tamaño Muestral (N)</t>
        </is>
      </c>
      <c r="B4" s="9" t="inlineStr">
        <is>
          <t>Fase III, multicéntrico, aleatorizado 1:1, abierto (N = 415)</t>
        </is>
      </c>
      <c r="C4" s="9" t="inlineStr">
        <is>
          <t>Fase II, multicéntrico, aleatorizado 1:1 (pick-the-winner), abierto (N = 98 evaluables)</t>
        </is>
      </c>
      <c r="D4" s="9" t="inlineStr">
        <is>
          <t>Fase III, multicéntrico, aleatorizado 1:1, abierto (N = 167)</t>
        </is>
      </c>
    </row>
    <row r="5" ht="42" customHeight="1">
      <c r="A5" s="10" t="inlineStr">
        <is>
          <t>Población e Intervalo Libre de Platino (PFI)</t>
        </is>
      </c>
      <c r="B5" s="11" t="inlineStr">
        <is>
          <t>Primera recaída platino-sensible de cáncer de ovario epitelial (PFI &gt;= 6 meses; 49% &gt; 18 meses)</t>
        </is>
      </c>
      <c r="C5" s="11" t="inlineStr">
        <is>
          <t>Primera recaída platino-sensible de alto grado (PFI 6 a 30 meses; mediana 16-17 meses)</t>
        </is>
      </c>
      <c r="D5" s="11" t="inlineStr">
        <is>
          <t>Primera recaída platino-sensible sin ascitis (PFI &gt;= 6 meses; mediana 17-20 meses)</t>
        </is>
      </c>
    </row>
    <row r="6" ht="42" customHeight="1">
      <c r="A6" s="8" t="inlineStr">
        <is>
          <t>Momento de la Quimioterapia Sistémica</t>
        </is>
      </c>
      <c r="B6" s="9" t="inlineStr">
        <is>
          <t>ANTES de la cirugía (6 ciclos de platino neoadyuvante +/- bevacizumab -&gt; Cirugía + HIPEC)</t>
        </is>
      </c>
      <c r="C6" s="9" t="inlineStr">
        <is>
          <t>DESPUÉS de la cirugía (Cirugía primaria de recaída + HIPEC -&gt; 5 vs. 6 ciclos de quimio IV)</t>
        </is>
      </c>
      <c r="D6" s="9" t="inlineStr">
        <is>
          <t>DESPUÉS de la cirugía (Cirugía primaria de recaída sin NACT + HIPEC -&gt; 6 ciclos de quimio IV)</t>
        </is>
      </c>
    </row>
    <row r="7" ht="42" customHeight="1">
      <c r="A7" s="10" t="inlineStr">
        <is>
          <t>Fármaco, Dosis y Técnica del HIPEC</t>
        </is>
      </c>
      <c r="B7" s="11" t="inlineStr">
        <is>
          <t>Cisplatino 75 mg/m² por 60 min a 41±1 °C (técnica abierta 74% o cerrada 25%)</t>
        </is>
      </c>
      <c r="C7" s="11" t="inlineStr">
        <is>
          <t>Carboplatino 800 mg/m² por 90 min a 41-43 °C (técnica cerrada en 3,000 mL de solución salina)</t>
        </is>
      </c>
      <c r="D7" s="11" t="inlineStr">
        <is>
          <t>Cisplatino 75 mg/m² por 60 min a 41.5 °C (técnica cerrada a flujo de 1 L/min)</t>
        </is>
      </c>
    </row>
    <row r="8" ht="42" customHeight="1">
      <c r="A8" s="8" t="inlineStr">
        <is>
          <t>Nefroprotección con Tiosulfato de Sodio</t>
        </is>
      </c>
      <c r="B8" s="9" t="inlineStr">
        <is>
          <t>Introducida mediante enmienda de protocolo (junio 2018) tras el paciente 392</t>
        </is>
      </c>
      <c r="C8" s="9" t="inlineStr">
        <is>
          <t>No utilizada (se eligió carboplatino específicamente para evitar nefrotoxicidad por cisplatino)</t>
        </is>
      </c>
      <c r="D8" s="9" t="inlineStr">
        <is>
          <t>No utilizada en el protocolo (hidratación para diuresis &gt;= 1 mL/kg/h durante y 3h post-cirugía)</t>
        </is>
      </c>
    </row>
    <row r="9" ht="42" customHeight="1">
      <c r="A9" s="10" t="inlineStr">
        <is>
          <t>Criterio de Citorreducción en Aleatorización</t>
        </is>
      </c>
      <c r="B9" s="11" t="inlineStr">
        <is>
          <t>CC-0 (sin tumor residual: 87%) o CC-1 (&lt; 0.25 cm: 13%) intraoperatorio</t>
        </is>
      </c>
      <c r="C9" s="11" t="inlineStr">
        <is>
          <t>Enfermedad residual &lt;= 0.5 cm intraoperatoria (CGR lograda en 82% HIPEC vs. 94% control)</t>
        </is>
      </c>
      <c r="D9" s="11" t="inlineStr">
        <is>
          <t>CC-0 (95.2%) o CC-1 (&lt;= 0.25 cm: 4.8%) intraoperatorio</t>
        </is>
      </c>
    </row>
    <row r="10" ht="42" customHeight="1">
      <c r="A10" s="8" t="inlineStr">
        <is>
          <t>Terapia de Mantenimiento Post-Cirugía</t>
        </is>
      </c>
      <c r="B10" s="9" t="inlineStr">
        <is>
          <t>Permitida a discreción: inhibidores PARP en 16% (HIPEC) vs. 20% (Control)</t>
        </is>
      </c>
      <c r="C10" s="9" t="inlineStr">
        <is>
          <t>Prohibida por protocolo antes de la progresión (ni bevacizumab ni iPARP)</t>
        </is>
      </c>
      <c r="D10" s="9" t="inlineStr">
        <is>
          <t>Permitida: 14.4% recibió bevacizumab o iPARP (12 pacientes en cada brazo)</t>
        </is>
      </c>
    </row>
    <row r="11" ht="42" customHeight="1">
      <c r="A11" s="10" t="inlineStr">
        <is>
          <t>Desenlace Primario del Ensayo</t>
        </is>
      </c>
      <c r="B11" s="11" t="inlineStr">
        <is>
          <t>Supervivencia Global (OS) por intención de tratar</t>
        </is>
      </c>
      <c r="C11" s="11" t="inlineStr">
        <is>
          <t>Supervivencia Libre de Progresión (PFS) a 24 meses (al menos 17/49 pacientes libres de progresión)</t>
        </is>
      </c>
      <c r="D11" s="11" t="inlineStr">
        <is>
          <t>Supervivencia Libre de Progresión (PFS) por intención de tratar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8" customWidth="1" min="8" max="8"/>
    <col width="18" customWidth="1" min="9" max="9"/>
    <col width="18" customWidth="1" min="10" max="10"/>
    <col width="18" customWidth="1" min="11" max="11"/>
    <col width="24" customWidth="1" min="12" max="12"/>
    <col width="28" customWidth="1" min="13" max="13"/>
    <col width="20" customWidth="1" min="14" max="14"/>
  </cols>
  <sheetData>
    <row r="1">
      <c r="A1" s="1" t="inlineStr">
        <is>
          <t>Matriz de Datos Originales Extraídos por Desenlace (Eficacia y Seguridad)</t>
        </is>
      </c>
    </row>
    <row r="3">
      <c r="A3" s="12" t="inlineStr">
        <is>
          <t>Tabla 3A. Desenlace 1: Supervivencia Global (Overall Survival - OS / Postrecurrence Survival)</t>
        </is>
      </c>
    </row>
    <row r="4" ht="28" customHeight="1">
      <c r="A4" s="2" t="inlineStr">
        <is>
          <t>Estudio</t>
        </is>
      </c>
      <c r="B4" s="2" t="inlineStr">
        <is>
          <t>Eventos HIPEC (n)</t>
        </is>
      </c>
      <c r="C4" s="2" t="inlineStr">
        <is>
          <t>Total HIPEC (N)</t>
        </is>
      </c>
      <c r="D4" s="2" t="inlineStr">
        <is>
          <t>% Eventos HIPEC</t>
        </is>
      </c>
      <c r="E4" s="2" t="inlineStr">
        <is>
          <t>Eventos Control (n)</t>
        </is>
      </c>
      <c r="F4" s="2" t="inlineStr">
        <is>
          <t>Total Control (N)</t>
        </is>
      </c>
      <c r="G4" s="2" t="inlineStr">
        <is>
          <t>% Eventos Control</t>
        </is>
      </c>
      <c r="H4" s="2" t="inlineStr">
        <is>
          <t>Mediana OS HIPEC (meses)</t>
        </is>
      </c>
      <c r="I4" s="2" t="inlineStr">
        <is>
          <t>IC 95% Mediana HIPEC</t>
        </is>
      </c>
      <c r="J4" s="2" t="inlineStr">
        <is>
          <t>Mediana OS Control (meses)</t>
        </is>
      </c>
      <c r="K4" s="2" t="inlineStr">
        <is>
          <t>IC 95% Mediana Control</t>
        </is>
      </c>
      <c r="L4" s="2" t="inlineStr">
        <is>
          <t>Hazard Ratio (HR)</t>
        </is>
      </c>
      <c r="M4" s="2" t="inlineStr">
        <is>
          <t>IC 95% HR</t>
        </is>
      </c>
      <c r="N4" s="2" t="inlineStr">
        <is>
          <t>Valor p</t>
        </is>
      </c>
    </row>
    <row r="5" ht="22" customHeight="1">
      <c r="A5" s="13" t="inlineStr">
        <is>
          <t>CHIPOR (2024)</t>
        </is>
      </c>
      <c r="B5" s="14" t="n">
        <v>126</v>
      </c>
      <c r="C5" s="14" t="n">
        <v>207</v>
      </c>
      <c r="D5" s="15">
        <f>B5/C5</f>
        <v/>
      </c>
      <c r="E5" s="14" t="n">
        <v>142</v>
      </c>
      <c r="F5" s="14" t="n">
        <v>208</v>
      </c>
      <c r="G5" s="15">
        <f>E5/F5</f>
        <v/>
      </c>
      <c r="H5" s="16" t="n">
        <v>54.3</v>
      </c>
      <c r="I5" s="17" t="inlineStr">
        <is>
          <t>41.9 - 61.7</t>
        </is>
      </c>
      <c r="J5" s="16" t="n">
        <v>45.8</v>
      </c>
      <c r="K5" s="17" t="inlineStr">
        <is>
          <t>38.9 - 54.2</t>
        </is>
      </c>
      <c r="L5" s="18" t="n">
        <v>0.73</v>
      </c>
      <c r="M5" s="17" t="inlineStr">
        <is>
          <t>0.56 - 0.96</t>
        </is>
      </c>
      <c r="N5" s="19" t="n">
        <v>0.024</v>
      </c>
    </row>
    <row r="6" ht="22" customHeight="1">
      <c r="A6" s="20" t="inlineStr">
        <is>
          <t>MSK Phase II (2021)</t>
        </is>
      </c>
      <c r="B6" s="21" t="n">
        <v>20</v>
      </c>
      <c r="C6" s="21" t="n">
        <v>49</v>
      </c>
      <c r="D6" s="22">
        <f>B6/C6</f>
        <v/>
      </c>
      <c r="E6" s="21" t="n">
        <v>17</v>
      </c>
      <c r="F6" s="21" t="n">
        <v>49</v>
      </c>
      <c r="G6" s="22">
        <f>E6/F6</f>
        <v/>
      </c>
      <c r="H6" s="23" t="n">
        <v>52.5</v>
      </c>
      <c r="I6" s="24" t="inlineStr">
        <is>
          <t>41.8 - NE</t>
        </is>
      </c>
      <c r="J6" s="23" t="n">
        <v>59.7</v>
      </c>
      <c r="K6" s="24" t="inlineStr">
        <is>
          <t>50.3 - NE</t>
        </is>
      </c>
      <c r="L6" s="25" t="n">
        <v>1.39</v>
      </c>
      <c r="M6" s="24" t="inlineStr">
        <is>
          <t>0.73 - 2.67 (MV: 1.33 [0.69-2.56])</t>
        </is>
      </c>
      <c r="N6" s="26" t="n">
        <v>0.313</v>
      </c>
    </row>
    <row r="7" ht="22" customHeight="1">
      <c r="A7" s="13" t="inlineStr">
        <is>
          <t>HORSE / MITO-18 (2024)</t>
        </is>
      </c>
      <c r="B7" s="14" t="n">
        <v>35</v>
      </c>
      <c r="C7" s="14" t="n">
        <v>82</v>
      </c>
      <c r="D7" s="15">
        <f>B7/C7</f>
        <v/>
      </c>
      <c r="E7" s="14" t="n">
        <v>37</v>
      </c>
      <c r="F7" s="14" t="n">
        <v>85</v>
      </c>
      <c r="G7" s="15">
        <f>E7/F7</f>
        <v/>
      </c>
      <c r="H7" s="16" t="n">
        <v>91</v>
      </c>
      <c r="I7" s="17" t="inlineStr">
        <is>
          <t>79.0 - 103.0</t>
        </is>
      </c>
      <c r="J7" s="16" t="n">
        <v>101</v>
      </c>
      <c r="K7" s="17" t="inlineStr">
        <is>
          <t>51.0 - 151.0</t>
        </is>
      </c>
      <c r="L7" s="18" t="n">
        <v>0.86</v>
      </c>
      <c r="M7" s="17" t="inlineStr">
        <is>
          <t>0.54 - 1.37</t>
        </is>
      </c>
      <c r="N7" s="19" t="n">
        <v>0.53</v>
      </c>
    </row>
    <row r="8" ht="22" customHeight="1">
      <c r="A8" s="27" t="inlineStr">
        <is>
          <t>Total Acumulado (OS)</t>
        </is>
      </c>
      <c r="B8" s="28">
        <f>SUM(B5:B7)</f>
        <v/>
      </c>
      <c r="C8" s="28">
        <f>SUM(C5:C7)</f>
        <v/>
      </c>
      <c r="D8" s="29">
        <f>B8/C8</f>
        <v/>
      </c>
      <c r="E8" s="28">
        <f>SUM(E5:E7)</f>
        <v/>
      </c>
      <c r="F8" s="28">
        <f>SUM(F5:F7)</f>
        <v/>
      </c>
      <c r="G8" s="29">
        <f>E8/F8</f>
        <v/>
      </c>
      <c r="H8" s="30" t="inlineStr">
        <is>
          <t>-</t>
        </is>
      </c>
      <c r="I8" s="30" t="inlineStr">
        <is>
          <t>-</t>
        </is>
      </c>
      <c r="J8" s="30" t="inlineStr">
        <is>
          <t>-</t>
        </is>
      </c>
      <c r="K8" s="30" t="inlineStr">
        <is>
          <t>-</t>
        </is>
      </c>
      <c r="L8" s="30" t="inlineStr">
        <is>
          <t>-</t>
        </is>
      </c>
      <c r="M8" s="30" t="inlineStr">
        <is>
          <t>Total: 680 pac. / 377 muertes</t>
        </is>
      </c>
      <c r="N8" s="30" t="inlineStr">
        <is>
          <t>-</t>
        </is>
      </c>
    </row>
    <row r="10">
      <c r="A10" s="12" t="inlineStr">
        <is>
          <t>Tabla 3B. Desenlace 2: Supervivencia Libre de Progresión (Progression-Free Survival - PFS)</t>
        </is>
      </c>
    </row>
    <row r="11" ht="28" customHeight="1">
      <c r="A11" s="2" t="inlineStr">
        <is>
          <t>Estudio</t>
        </is>
      </c>
      <c r="B11" s="2" t="inlineStr">
        <is>
          <t>Eventos HIPEC (n)</t>
        </is>
      </c>
      <c r="C11" s="2" t="inlineStr">
        <is>
          <t>Total HIPEC (N)</t>
        </is>
      </c>
      <c r="D11" s="2" t="inlineStr">
        <is>
          <t>% Eventos HIPEC</t>
        </is>
      </c>
      <c r="E11" s="2" t="inlineStr">
        <is>
          <t>Eventos Control (n)</t>
        </is>
      </c>
      <c r="F11" s="2" t="inlineStr">
        <is>
          <t>Total Control (N)</t>
        </is>
      </c>
      <c r="G11" s="2" t="inlineStr">
        <is>
          <t>% Eventos Control</t>
        </is>
      </c>
      <c r="H11" s="2" t="inlineStr">
        <is>
          <t>Mediana PFS HIPEC (meses)</t>
        </is>
      </c>
      <c r="I11" s="2" t="inlineStr">
        <is>
          <t>IC 95% Mediana HIPEC</t>
        </is>
      </c>
      <c r="J11" s="2" t="inlineStr">
        <is>
          <t>Mediana PFS Control (meses)</t>
        </is>
      </c>
      <c r="K11" s="2" t="inlineStr">
        <is>
          <t>IC 95% Mediana Control</t>
        </is>
      </c>
      <c r="L11" s="2" t="inlineStr">
        <is>
          <t>Hazard Ratio (HR)</t>
        </is>
      </c>
      <c r="M11" s="2" t="inlineStr">
        <is>
          <t>IC 95% HR</t>
        </is>
      </c>
      <c r="N11" s="2" t="inlineStr">
        <is>
          <t>Valor p</t>
        </is>
      </c>
    </row>
    <row r="12" ht="22" customHeight="1">
      <c r="A12" s="13" t="inlineStr">
        <is>
          <t>CHIPOR (2024) - PFS Global</t>
        </is>
      </c>
      <c r="B12" s="14" t="n">
        <v>181</v>
      </c>
      <c r="C12" s="14" t="n">
        <v>207</v>
      </c>
      <c r="D12" s="15">
        <f>B12/C12</f>
        <v/>
      </c>
      <c r="E12" s="14" t="n">
        <v>185</v>
      </c>
      <c r="F12" s="14" t="n">
        <v>208</v>
      </c>
      <c r="G12" s="15">
        <f>E12/F12</f>
        <v/>
      </c>
      <c r="H12" s="16" t="n">
        <v>10.2</v>
      </c>
      <c r="I12" s="17" t="inlineStr">
        <is>
          <t>9.3 - 11.9</t>
        </is>
      </c>
      <c r="J12" s="16" t="n">
        <v>9.5</v>
      </c>
      <c r="K12" s="17" t="inlineStr">
        <is>
          <t>8.6 - 11.6</t>
        </is>
      </c>
      <c r="L12" s="18" t="n">
        <v>0.79</v>
      </c>
      <c r="M12" s="17" t="inlineStr">
        <is>
          <t>0.63 - 0.99</t>
        </is>
      </c>
      <c r="N12" s="17" t="inlineStr">
        <is>
          <t>&lt;0.05</t>
        </is>
      </c>
    </row>
    <row r="13" ht="22" customHeight="1">
      <c r="A13" s="20" t="inlineStr">
        <is>
          <t>MSK Phase II (2021) - PFS</t>
        </is>
      </c>
      <c r="B13" s="21" t="n">
        <v>46</v>
      </c>
      <c r="C13" s="21" t="n">
        <v>49</v>
      </c>
      <c r="D13" s="22">
        <f>B13/C13</f>
        <v/>
      </c>
      <c r="E13" s="21" t="n">
        <v>38</v>
      </c>
      <c r="F13" s="21" t="n">
        <v>49</v>
      </c>
      <c r="G13" s="22">
        <f>E13/F13</f>
        <v/>
      </c>
      <c r="H13" s="23" t="n">
        <v>12.3</v>
      </c>
      <c r="I13" s="24" t="inlineStr">
        <is>
          <t>11.9 - 15.6</t>
        </is>
      </c>
      <c r="J13" s="23" t="n">
        <v>15.7</v>
      </c>
      <c r="K13" s="24" t="inlineStr">
        <is>
          <t>12.0 - 17.5</t>
        </is>
      </c>
      <c r="L13" s="25" t="n">
        <v>1.54</v>
      </c>
      <c r="M13" s="24" t="inlineStr">
        <is>
          <t>1.00 - 2.37 (MV: 1.49 [0.96-2.32])</t>
        </is>
      </c>
      <c r="N13" s="26" t="n">
        <v>0.049</v>
      </c>
    </row>
    <row r="14" ht="22" customHeight="1">
      <c r="A14" s="13" t="inlineStr">
        <is>
          <t>HORSE / MITO-18 (2024) - PFS</t>
        </is>
      </c>
      <c r="B14" s="14" t="n">
        <v>70</v>
      </c>
      <c r="C14" s="14" t="n">
        <v>82</v>
      </c>
      <c r="D14" s="15">
        <f>B14/C14</f>
        <v/>
      </c>
      <c r="E14" s="14" t="n">
        <v>69</v>
      </c>
      <c r="F14" s="14" t="n">
        <v>85</v>
      </c>
      <c r="G14" s="15">
        <f>E14/F14</f>
        <v/>
      </c>
      <c r="H14" s="16" t="n">
        <v>25</v>
      </c>
      <c r="I14" s="17" t="inlineStr">
        <is>
          <t>18.0 - 32.0</t>
        </is>
      </c>
      <c r="J14" s="16" t="n">
        <v>23</v>
      </c>
      <c r="K14" s="17" t="inlineStr">
        <is>
          <t>17.0 - 29.0</t>
        </is>
      </c>
      <c r="L14" s="18" t="n">
        <v>1.02</v>
      </c>
      <c r="M14" s="17" t="inlineStr">
        <is>
          <t>0.73 - 1.42</t>
        </is>
      </c>
      <c r="N14" s="19" t="n">
        <v>0.91</v>
      </c>
    </row>
    <row r="15" ht="22" customHeight="1">
      <c r="A15" s="27" t="inlineStr">
        <is>
          <t>Total Acumulado (PFS Global)</t>
        </is>
      </c>
      <c r="B15" s="28">
        <f>SUM(B12:B14)</f>
        <v/>
      </c>
      <c r="C15" s="28">
        <f>SUM(C12:C14)</f>
        <v/>
      </c>
      <c r="D15" s="29">
        <f>B15/C15</f>
        <v/>
      </c>
      <c r="E15" s="28">
        <f>SUM(E12:E14)</f>
        <v/>
      </c>
      <c r="F15" s="28">
        <f>SUM(F12:F14)</f>
        <v/>
      </c>
      <c r="G15" s="29">
        <f>E15/F15</f>
        <v/>
      </c>
      <c r="H15" s="30" t="inlineStr">
        <is>
          <t>-</t>
        </is>
      </c>
      <c r="I15" s="30" t="inlineStr">
        <is>
          <t>-</t>
        </is>
      </c>
      <c r="J15" s="30" t="inlineStr">
        <is>
          <t>-</t>
        </is>
      </c>
      <c r="K15" s="30" t="inlineStr">
        <is>
          <t>-</t>
        </is>
      </c>
      <c r="L15" s="30" t="inlineStr">
        <is>
          <t>-</t>
        </is>
      </c>
      <c r="M15" s="30" t="inlineStr">
        <is>
          <t>Total: 680 pac. / 589 eventos PFS</t>
        </is>
      </c>
      <c r="N15" s="30" t="inlineStr">
        <is>
          <t>-</t>
        </is>
      </c>
    </row>
    <row r="16" ht="22" customHeight="1">
      <c r="A16" s="31" t="inlineStr">
        <is>
          <t>CHIPOR (2024) - Sub-desenlace: PFS Peritoneal</t>
        </is>
      </c>
      <c r="B16" s="32" t="n">
        <v>153</v>
      </c>
      <c r="C16" s="32" t="n">
        <v>207</v>
      </c>
      <c r="D16" s="33">
        <f>B16/C16</f>
        <v/>
      </c>
      <c r="E16" s="32" t="n">
        <v>160</v>
      </c>
      <c r="F16" s="32" t="n">
        <v>208</v>
      </c>
      <c r="G16" s="33">
        <f>E16/F16</f>
        <v/>
      </c>
      <c r="H16" s="34" t="n">
        <v>12.3</v>
      </c>
      <c r="I16" s="35" t="inlineStr">
        <is>
          <t>10.5 - 15.6</t>
        </is>
      </c>
      <c r="J16" s="34" t="n">
        <v>12.1</v>
      </c>
      <c r="K16" s="35" t="inlineStr">
        <is>
          <t>9.7 - 12.9</t>
        </is>
      </c>
      <c r="L16" s="36" t="n">
        <v>0.74</v>
      </c>
      <c r="M16" s="35" t="inlineStr">
        <is>
          <t>0.57 - 0.94</t>
        </is>
      </c>
      <c r="N16" s="35" t="inlineStr">
        <is>
          <t>&lt;0.05</t>
        </is>
      </c>
    </row>
    <row r="18">
      <c r="A18" s="12" t="inlineStr">
        <is>
          <t>Tabla 3C. Desenlace 3: Seguridad — Eventos Adversos Grado &gt;= 3, Falla Renal y Mortalidad Perioperatoria</t>
        </is>
      </c>
    </row>
    <row r="19" ht="28" customHeight="1">
      <c r="A19" s="2" t="inlineStr">
        <is>
          <t>Estudio</t>
        </is>
      </c>
      <c r="B19" s="2" t="inlineStr">
        <is>
          <t>EA G&gt;=3 HIPEC (n)</t>
        </is>
      </c>
      <c r="C19" s="2" t="inlineStr">
        <is>
          <t>Total HIPEC (N)</t>
        </is>
      </c>
      <c r="D19" s="2" t="inlineStr">
        <is>
          <t>% EA G&gt;=3 HIPEC</t>
        </is>
      </c>
      <c r="E19" s="2" t="inlineStr">
        <is>
          <t>EA G&gt;=3 Control (n)</t>
        </is>
      </c>
      <c r="F19" s="2" t="inlineStr">
        <is>
          <t>Total Control (N)</t>
        </is>
      </c>
      <c r="G19" s="2" t="inlineStr">
        <is>
          <t>% EA G&gt;=3 Control</t>
        </is>
      </c>
      <c r="H19" s="2" t="inlineStr">
        <is>
          <t>Falla Renal G&gt;=3 HIPEC</t>
        </is>
      </c>
      <c r="I19" s="2" t="inlineStr">
        <is>
          <t>Falla Renal G&gt;=3 Control</t>
        </is>
      </c>
      <c r="J19" s="2" t="inlineStr">
        <is>
          <t>Mortalidad Postop HIPEC</t>
        </is>
      </c>
      <c r="K19" s="2" t="inlineStr">
        <is>
          <t>Mortalidad Postop Control</t>
        </is>
      </c>
      <c r="L19" s="2" t="inlineStr">
        <is>
          <t>Ventana y Escala de Evaluación</t>
        </is>
      </c>
      <c r="M19" s="2" t="inlineStr">
        <is>
          <t>Notas Clínicas Relevantes de Seguridad</t>
        </is>
      </c>
    </row>
    <row r="20" ht="30" customHeight="1">
      <c r="A20" s="37" t="inlineStr">
        <is>
          <t>CHIPOR (2024)</t>
        </is>
      </c>
      <c r="B20" s="14" t="n">
        <v>102</v>
      </c>
      <c r="C20" s="14" t="n">
        <v>207</v>
      </c>
      <c r="D20" s="15">
        <f>B20/C20</f>
        <v/>
      </c>
      <c r="E20" s="14" t="n">
        <v>56</v>
      </c>
      <c r="F20" s="14" t="n">
        <v>208</v>
      </c>
      <c r="G20" s="15">
        <f>E20/F20</f>
        <v/>
      </c>
      <c r="H20" s="38" t="inlineStr">
        <is>
          <t>20 / 207 (9.7%)</t>
        </is>
      </c>
      <c r="I20" s="38" t="inlineStr">
        <is>
          <t>3 / 208 (1.4%)</t>
        </is>
      </c>
      <c r="J20" s="38" t="inlineStr">
        <is>
          <t>0 / 207 (0.0%)</t>
        </is>
      </c>
      <c r="K20" s="38" t="inlineStr">
        <is>
          <t>3 / 208 (1.4%)</t>
        </is>
      </c>
      <c r="L20" s="38" t="inlineStr">
        <is>
          <t>60 días post-cirugía (CTCAE v4.0)</t>
        </is>
      </c>
      <c r="M20" s="39" t="inlineStr">
        <is>
          <t>Falla renal G&gt;=3 bajó de 12% (19/156) a 2% (1/51) tras tiosulfato profiláctico.</t>
        </is>
      </c>
      <c r="N20" s="40" t="n"/>
    </row>
    <row r="21" ht="30" customHeight="1">
      <c r="A21" s="41" t="inlineStr">
        <is>
          <t>MSK Phase II (2021)</t>
        </is>
      </c>
      <c r="B21" s="21" t="n">
        <v>12</v>
      </c>
      <c r="C21" s="21" t="n">
        <v>49</v>
      </c>
      <c r="D21" s="22">
        <f>B21/C21</f>
        <v/>
      </c>
      <c r="E21" s="21" t="n">
        <v>10</v>
      </c>
      <c r="F21" s="21" t="n">
        <v>49</v>
      </c>
      <c r="G21" s="22">
        <f>E21/F21</f>
        <v/>
      </c>
      <c r="H21" s="42" t="inlineStr">
        <is>
          <t>0 / 49 (0.0%)</t>
        </is>
      </c>
      <c r="I21" s="42" t="inlineStr">
        <is>
          <t>0 / 49 (0.0%)</t>
        </is>
      </c>
      <c r="J21" s="42" t="inlineStr">
        <is>
          <t>0 / 49 (0.0%)</t>
        </is>
      </c>
      <c r="K21" s="42" t="inlineStr">
        <is>
          <t>0 / 49 (0.0%)</t>
        </is>
      </c>
      <c r="L21" s="42" t="inlineStr">
        <is>
          <t>30 días post-cirugía (MSKCC grading)</t>
        </is>
      </c>
      <c r="M21" s="43" t="inlineStr">
        <is>
          <t>Usó carboplatino 800 mg/m². Sin diferencia en toxicidad G&gt;=3 (p = 0.81).</t>
        </is>
      </c>
      <c r="N21" s="40" t="n"/>
    </row>
    <row r="22" ht="30" customHeight="1">
      <c r="A22" s="37" t="inlineStr">
        <is>
          <t>HORSE / MITO-18 (2024)</t>
        </is>
      </c>
      <c r="B22" s="14" t="n">
        <v>10</v>
      </c>
      <c r="C22" s="14" t="n">
        <v>82</v>
      </c>
      <c r="D22" s="15">
        <f>B22/C22</f>
        <v/>
      </c>
      <c r="E22" s="14" t="n">
        <v>6</v>
      </c>
      <c r="F22" s="14" t="n">
        <v>85</v>
      </c>
      <c r="G22" s="15">
        <f>E22/F22</f>
        <v/>
      </c>
      <c r="H22" s="38" t="inlineStr">
        <is>
          <t>0 / 82 (0.0%) [4 casos G1-2]</t>
        </is>
      </c>
      <c r="I22" s="38" t="inlineStr">
        <is>
          <t>0 / 85 (0.0%)</t>
        </is>
      </c>
      <c r="J22" s="38" t="inlineStr">
        <is>
          <t>0 / 82 (0.0%)</t>
        </is>
      </c>
      <c r="K22" s="38" t="inlineStr">
        <is>
          <t>0 / 85 (0.0%)</t>
        </is>
      </c>
      <c r="L22" s="38" t="inlineStr">
        <is>
          <t>30 días (tempranos) y 6m (tardíos)</t>
        </is>
      </c>
      <c r="M22" s="39" t="inlineStr">
        <is>
          <t>Complicaciones tardías G3-4: 3/82 (3.6%) en HIPEC vs. 4/85 (4.7%) en Control.</t>
        </is>
      </c>
      <c r="N22" s="40" t="n"/>
    </row>
    <row r="23" ht="24" customHeight="1">
      <c r="A23" s="44" t="inlineStr">
        <is>
          <t>Total Acumulado (Seguridad)</t>
        </is>
      </c>
      <c r="B23" s="28">
        <f>SUM(B20:B22)</f>
        <v/>
      </c>
      <c r="C23" s="28">
        <f>SUM(C20:C22)</f>
        <v/>
      </c>
      <c r="D23" s="29">
        <f>B23/C23</f>
        <v/>
      </c>
      <c r="E23" s="28">
        <f>SUM(E20:E22)</f>
        <v/>
      </c>
      <c r="F23" s="28">
        <f>SUM(F20:F22)</f>
        <v/>
      </c>
      <c r="G23" s="29">
        <f>E23/F23</f>
        <v/>
      </c>
      <c r="H23" s="45" t="inlineStr">
        <is>
          <t>20 / 338 (5.9%)</t>
        </is>
      </c>
      <c r="I23" s="45" t="inlineStr">
        <is>
          <t>3 / 342 (0.9%)</t>
        </is>
      </c>
      <c r="J23" s="45" t="inlineStr">
        <is>
          <t>0 / 338 (0.0%)</t>
        </is>
      </c>
      <c r="K23" s="45" t="inlineStr">
        <is>
          <t>3 / 342 (0.9%)</t>
        </is>
      </c>
      <c r="L23" s="45" t="inlineStr">
        <is>
          <t>-</t>
        </is>
      </c>
      <c r="M23" s="44" t="inlineStr">
        <is>
          <t>Total evaluados en seguridad: 680 pacientes.</t>
        </is>
      </c>
      <c r="N23" s="46" t="n"/>
    </row>
    <row r="26">
      <c r="A26" s="47" t="inlineStr">
        <is>
          <t>Resumen Gráfico EA Grado &gt;= 3</t>
        </is>
      </c>
    </row>
    <row r="27">
      <c r="A27" s="48" t="inlineStr">
        <is>
          <t>Ensayo</t>
        </is>
      </c>
      <c r="B27" s="48" t="inlineStr">
        <is>
          <t>HIPEC (%)</t>
        </is>
      </c>
      <c r="C27" s="48" t="inlineStr">
        <is>
          <t>Control (%)</t>
        </is>
      </c>
    </row>
    <row r="28">
      <c r="A28" s="49" t="inlineStr">
        <is>
          <t>CHIPOR (2024)</t>
        </is>
      </c>
      <c r="B28" s="50">
        <f>D20</f>
        <v/>
      </c>
      <c r="C28" s="50">
        <f>G20</f>
        <v/>
      </c>
    </row>
    <row r="29">
      <c r="A29" s="49" t="inlineStr">
        <is>
          <t>MSK Phase II (2021)</t>
        </is>
      </c>
      <c r="B29" s="50">
        <f>D21</f>
        <v/>
      </c>
      <c r="C29" s="50">
        <f>G21</f>
        <v/>
      </c>
    </row>
    <row r="30">
      <c r="A30" s="49" t="inlineStr">
        <is>
          <t>HORSE (2024)</t>
        </is>
      </c>
      <c r="B30" s="50">
        <f>D22</f>
        <v/>
      </c>
      <c r="C30" s="50">
        <f>G22</f>
        <v/>
      </c>
    </row>
  </sheetData>
  <mergeCells count="9">
    <mergeCell ref="A18:N18"/>
    <mergeCell ref="A3:N3"/>
    <mergeCell ref="M21:N21"/>
    <mergeCell ref="M20:N20"/>
    <mergeCell ref="M23:N23"/>
    <mergeCell ref="M19:N19"/>
    <mergeCell ref="A10:N10"/>
    <mergeCell ref="M22:N2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2026-10-24T21:09:00Z</dcterms:created>
  <dcterms:modified xmlns:dcterms="http://purl.org/dc/terms/" xmlns:xsi="http://www.w3.org/2001/XMLSchema-instance" xsi:type="dcterms:W3CDTF">2026-10-24T21:09:01Z</dcterms:modified>
</cp:coreProperties>
</file>